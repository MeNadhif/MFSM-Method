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Semester 5\Manajemen Pengadaan dan Investasi TI\Pertemuan 14\"/>
    </mc:Choice>
  </mc:AlternateContent>
  <xr:revisionPtr revIDLastSave="0" documentId="13_ncr:1_{0919C0E1-4D0C-4D54-B634-1202C56A39B6}" xr6:coauthVersionLast="46" xr6:coauthVersionMax="46" xr10:uidLastSave="{00000000-0000-0000-0000-000000000000}"/>
  <bookViews>
    <workbookView xWindow="-120" yWindow="-120" windowWidth="20730" windowHeight="11310" xr2:uid="{71D49951-F402-4C66-A070-511D7B980B84}"/>
  </bookViews>
  <sheets>
    <sheet name="DataKomputasiAwan" sheetId="1" r:id="rId1"/>
    <sheet name="MFSMBerbobot" sheetId="2" r:id="rId2"/>
    <sheet name="MFSMTidakBerbobo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12" i="3"/>
  <c r="H13" i="3"/>
  <c r="H14" i="3"/>
  <c r="H15" i="3"/>
  <c r="S15" i="2"/>
  <c r="R6" i="2"/>
  <c r="R7" i="2"/>
  <c r="R8" i="2"/>
  <c r="R9" i="2"/>
  <c r="R10" i="2"/>
  <c r="R11" i="2"/>
  <c r="R12" i="2"/>
  <c r="R13" i="2"/>
  <c r="R14" i="2"/>
  <c r="R15" i="2"/>
  <c r="R5" i="2"/>
  <c r="Q6" i="2"/>
  <c r="Q7" i="2"/>
  <c r="Q8" i="2"/>
  <c r="Q9" i="2"/>
  <c r="Q10" i="2"/>
  <c r="Q11" i="2"/>
  <c r="Q12" i="2"/>
  <c r="Q13" i="2"/>
  <c r="Q14" i="2"/>
  <c r="Q15" i="2"/>
  <c r="Q5" i="2"/>
  <c r="P6" i="2"/>
  <c r="P7" i="2"/>
  <c r="P8" i="2"/>
  <c r="P9" i="2"/>
  <c r="P10" i="2"/>
  <c r="P11" i="2"/>
  <c r="P12" i="2"/>
  <c r="P13" i="2"/>
  <c r="P14" i="2"/>
  <c r="P15" i="2"/>
  <c r="P5" i="2"/>
  <c r="O6" i="2"/>
  <c r="O7" i="2"/>
  <c r="O8" i="2"/>
  <c r="O9" i="2"/>
  <c r="O10" i="2"/>
  <c r="O11" i="2"/>
  <c r="O12" i="2"/>
  <c r="O13" i="2"/>
  <c r="O14" i="2"/>
  <c r="O15" i="2"/>
  <c r="O5" i="2"/>
  <c r="N6" i="2"/>
  <c r="N7" i="2"/>
  <c r="N8" i="2"/>
  <c r="N9" i="2"/>
  <c r="N10" i="2"/>
  <c r="N11" i="2"/>
  <c r="N12" i="2"/>
  <c r="N13" i="2"/>
  <c r="N14" i="2"/>
  <c r="N15" i="2"/>
  <c r="N5" i="2"/>
  <c r="M6" i="2"/>
  <c r="M7" i="2"/>
  <c r="M8" i="2"/>
  <c r="M9" i="2"/>
  <c r="M10" i="2"/>
  <c r="M11" i="2"/>
  <c r="M12" i="2"/>
  <c r="M13" i="2"/>
  <c r="M14" i="2"/>
  <c r="M15" i="2"/>
  <c r="M5" i="2"/>
  <c r="L6" i="2"/>
  <c r="L7" i="2"/>
  <c r="L8" i="2"/>
  <c r="S8" i="2" s="1"/>
  <c r="L9" i="2"/>
  <c r="S9" i="2" s="1"/>
  <c r="L10" i="2"/>
  <c r="S10" i="2" s="1"/>
  <c r="L11" i="2"/>
  <c r="S11" i="2" s="1"/>
  <c r="L12" i="2"/>
  <c r="S12" i="2" s="1"/>
  <c r="L13" i="2"/>
  <c r="S13" i="2" s="1"/>
  <c r="L14" i="2"/>
  <c r="S14" i="2" s="1"/>
  <c r="L15" i="2"/>
  <c r="L5" i="2"/>
  <c r="S7" i="2" l="1"/>
  <c r="S6" i="2"/>
  <c r="S5" i="2"/>
  <c r="AA3" i="2" l="1"/>
  <c r="AB3" i="2" l="1"/>
  <c r="AB6" i="2" s="1"/>
  <c r="U7" i="2" s="1"/>
  <c r="P2" i="3"/>
  <c r="Q2" i="3" s="1"/>
  <c r="R4" i="3" s="1"/>
  <c r="J11" i="3" s="1"/>
  <c r="A7" i="1" l="1"/>
</calcChain>
</file>

<file path=xl/sharedStrings.xml><?xml version="1.0" encoding="utf-8"?>
<sst xmlns="http://schemas.openxmlformats.org/spreadsheetml/2006/main" count="51" uniqueCount="27">
  <si>
    <t>Vendor</t>
  </si>
  <si>
    <t>No.</t>
  </si>
  <si>
    <t>Penskalaan</t>
  </si>
  <si>
    <t>Harga</t>
  </si>
  <si>
    <t>Pemantauan</t>
  </si>
  <si>
    <t xml:space="preserve">Pemulihan bencana </t>
  </si>
  <si>
    <t xml:space="preserve">Sumber Daya </t>
  </si>
  <si>
    <t>Penyimpanan</t>
  </si>
  <si>
    <t>AWS</t>
  </si>
  <si>
    <t>EC2 (Elastic Compute Cloud) – solusi mutakhir untuk mengelola mesin virtual. Dilengkapi dengan pengaturan yang telah dikonfigurasi sebelumnya, namun dapat disesuaikan.</t>
  </si>
  <si>
    <t>AWS Systems Manager: Dapatkan visibilitas yang lebih baik ke semua grup sumber daya dan atur otomatisasi</t>
  </si>
  <si>
    <t>Penskalaan Otomatis AWS</t>
  </si>
  <si>
    <t>-	Amazon CloudWatch: visibilitas dan analitik real-time untuk aplikasi dan infrastruktur</t>
  </si>
  <si>
    <t>AWS Elastic MapReduce (EMR), solusi Hadoop, Spark, dan Presto terkelola yang tangguh. Dapat diintegrasikan dengan sejumlah layanan AWS.</t>
  </si>
  <si>
    <t>Dari $0,023 per GB Per bulan</t>
  </si>
  <si>
    <t>Sumber Daya</t>
  </si>
  <si>
    <t/>
  </si>
  <si>
    <t>Bobot Faktor</t>
  </si>
  <si>
    <t>Pemulihan Bencana</t>
  </si>
  <si>
    <t>FORM PERHITUNGAN MFSM BERBOBOT</t>
  </si>
  <si>
    <t>FORM PERHITUNGAN MFSM TIDAK BERBOBOT</t>
  </si>
  <si>
    <t xml:space="preserve">Keputusan yang paling tepat adalah dengan memilih </t>
  </si>
  <si>
    <t>sebagai vendor karena memiliki bobot paling tinggi sebesar</t>
  </si>
  <si>
    <t>Total</t>
  </si>
  <si>
    <t>Keterangan :</t>
  </si>
  <si>
    <t xml:space="preserve">Pilihan yang terbaik adalah </t>
  </si>
  <si>
    <t>karena memiliki bobot paling tinggi sebesar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</si>
</sst>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7" fillId="0" borderId="0" xfId="0" applyFont="1" applyBorder="1" applyAlignment="1">
      <alignment vertical="center" textRotation="90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/>
    <xf numFmtId="0" fontId="9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9" fillId="2" borderId="1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/>
    </xf>
    <xf numFmtId="0" fontId="4" fillId="3" borderId="21" xfId="0" applyFont="1" applyFill="1" applyBorder="1"/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</cellXfs>
  <cellStyles count="1">
    <cellStyle name="Normal" xfId="0" builtinId="0"/>
  </cellStyles>
  <dxfs count="12"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auto="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34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171450</xdr:rowOff>
        </xdr:from>
        <xdr:to>
          <xdr:col>2</xdr:col>
          <xdr:colOff>1743075</xdr:colOff>
          <xdr:row>2</xdr:row>
          <xdr:rowOff>180975</xdr:rowOff>
        </xdr:to>
        <xdr:sp macro="" textlink="">
          <xdr:nvSpPr>
            <xdr:cNvPr id="1025" name="btnTamba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95250</xdr:rowOff>
        </xdr:from>
        <xdr:to>
          <xdr:col>10</xdr:col>
          <xdr:colOff>38100</xdr:colOff>
          <xdr:row>12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13</xdr:row>
          <xdr:rowOff>0</xdr:rowOff>
        </xdr:from>
        <xdr:to>
          <xdr:col>10</xdr:col>
          <xdr:colOff>38100</xdr:colOff>
          <xdr:row>14</xdr:row>
          <xdr:rowOff>142875</xdr:rowOff>
        </xdr:to>
        <xdr:sp macro="" textlink="">
          <xdr:nvSpPr>
            <xdr:cNvPr id="2050" name="BersihkanFakto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</xdr:row>
          <xdr:rowOff>104775</xdr:rowOff>
        </xdr:from>
        <xdr:to>
          <xdr:col>10</xdr:col>
          <xdr:colOff>38100</xdr:colOff>
          <xdr:row>3</xdr:row>
          <xdr:rowOff>219075</xdr:rowOff>
        </xdr:to>
        <xdr:sp macro="" textlink="">
          <xdr:nvSpPr>
            <xdr:cNvPr id="2051" name="btn_inputBobotFakto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</xdr:row>
          <xdr:rowOff>57150</xdr:rowOff>
        </xdr:from>
        <xdr:to>
          <xdr:col>10</xdr:col>
          <xdr:colOff>38100</xdr:colOff>
          <xdr:row>5</xdr:row>
          <xdr:rowOff>200025</xdr:rowOff>
        </xdr:to>
        <xdr:sp macro="" textlink="">
          <xdr:nvSpPr>
            <xdr:cNvPr id="2052" name="btn_bersihkanBobotFakt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38100</xdr:rowOff>
        </xdr:from>
        <xdr:to>
          <xdr:col>9</xdr:col>
          <xdr:colOff>1762125</xdr:colOff>
          <xdr:row>3</xdr:row>
          <xdr:rowOff>400050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</xdr:row>
          <xdr:rowOff>66675</xdr:rowOff>
        </xdr:from>
        <xdr:to>
          <xdr:col>9</xdr:col>
          <xdr:colOff>1762125</xdr:colOff>
          <xdr:row>6</xdr:row>
          <xdr:rowOff>28575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4AF879-BA01-436E-84D6-0CB2A80F140D}" name="Table6" displayName="Table6" ref="A5:H6" totalsRowShown="0" headerRowDxfId="11" dataDxfId="9" headerRowBorderDxfId="10" tableBorderDxfId="8">
  <autoFilter ref="A5:H6" xr:uid="{5A989A19-C87F-416B-9332-2012D18B9538}"/>
  <tableColumns count="8">
    <tableColumn id="1" xr3:uid="{838BE8BD-662E-4B2A-9864-84B9EA95D36D}" name="No." dataDxfId="7"/>
    <tableColumn id="2" xr3:uid="{ED179283-BB6E-4304-9DE0-AAE79C8BA890}" name="Vendor" dataDxfId="6"/>
    <tableColumn id="3" xr3:uid="{6A17D0AE-0F8D-4525-9F32-9DC0B560907E}" name="Sumber Daya " dataDxfId="5"/>
    <tableColumn id="4" xr3:uid="{D6BCF59D-F6AC-43B6-8870-67BDFD0883B1}" name="Penyimpanan" dataDxfId="4"/>
    <tableColumn id="5" xr3:uid="{AE0EF794-10E9-4BB0-8958-764027D85FFF}" name="Penskalaan" dataDxfId="3"/>
    <tableColumn id="6" xr3:uid="{5DC18CE2-BB06-4660-8045-914207242AFD}" name="Pemantauan" dataDxfId="2"/>
    <tableColumn id="7" xr3:uid="{07FD610B-18AD-43EF-95FD-8FE1386CFDA4}" name="Pemulihan bencana " dataDxfId="1"/>
    <tableColumn id="8" xr3:uid="{E28C3854-93EC-473C-9C7A-D21B32B54787}" name="Harg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69A9-6571-4839-B45F-DC054D0027E1}">
  <sheetPr codeName="Sheet1"/>
  <dimension ref="A1:H40"/>
  <sheetViews>
    <sheetView tabSelected="1" workbookViewId="0">
      <selection activeCell="F11" sqref="F11"/>
    </sheetView>
  </sheetViews>
  <sheetFormatPr defaultRowHeight="15" x14ac:dyDescent="0.25"/>
  <cols>
    <col min="1" max="1" width="9.7109375" style="1" customWidth="1"/>
    <col min="2" max="2" width="13.85546875" customWidth="1"/>
    <col min="3" max="3" width="32.5703125" customWidth="1"/>
    <col min="4" max="4" width="29.5703125" customWidth="1"/>
    <col min="5" max="5" width="28.28515625" customWidth="1"/>
    <col min="6" max="6" width="33.28515625" customWidth="1"/>
    <col min="7" max="7" width="36.85546875" customWidth="1"/>
    <col min="8" max="8" width="26.28515625" bestFit="1" customWidth="1"/>
  </cols>
  <sheetData>
    <row r="1" spans="1:8" x14ac:dyDescent="0.25">
      <c r="E1" s="42"/>
    </row>
    <row r="5" spans="1:8" x14ac:dyDescent="0.25">
      <c r="A5" s="2" t="s">
        <v>1</v>
      </c>
      <c r="B5" s="2" t="s">
        <v>0</v>
      </c>
      <c r="C5" s="2" t="s">
        <v>6</v>
      </c>
      <c r="D5" s="3" t="s">
        <v>7</v>
      </c>
      <c r="E5" s="2" t="s">
        <v>2</v>
      </c>
      <c r="F5" s="2" t="s">
        <v>4</v>
      </c>
      <c r="G5" s="2" t="s">
        <v>5</v>
      </c>
      <c r="H5" s="2" t="s">
        <v>3</v>
      </c>
    </row>
    <row r="6" spans="1:8" ht="90" x14ac:dyDescent="0.25">
      <c r="A6" s="7">
        <v>1</v>
      </c>
      <c r="B6" s="7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</row>
    <row r="7" spans="1:8" x14ac:dyDescent="0.25">
      <c r="A7" s="7" t="str">
        <f>IF(B7&lt;&gt;"", A6+1,"")</f>
        <v/>
      </c>
      <c r="B7" s="8"/>
      <c r="C7" s="8"/>
      <c r="D7" s="8"/>
      <c r="E7" s="8"/>
      <c r="F7" s="8"/>
      <c r="G7" s="8"/>
      <c r="H7" s="8"/>
    </row>
    <row r="8" spans="1:8" x14ac:dyDescent="0.25">
      <c r="A8" s="7"/>
      <c r="B8" s="8"/>
      <c r="C8" s="8"/>
      <c r="D8" s="8"/>
      <c r="E8" s="8"/>
      <c r="F8" s="8"/>
      <c r="G8" s="8"/>
      <c r="H8" s="8"/>
    </row>
    <row r="9" spans="1:8" x14ac:dyDescent="0.25">
      <c r="A9" s="7"/>
      <c r="B9" s="8"/>
      <c r="C9" s="8"/>
      <c r="D9" s="8"/>
      <c r="E9" s="8"/>
      <c r="F9" s="8"/>
      <c r="G9" s="8"/>
      <c r="H9" s="8"/>
    </row>
    <row r="10" spans="1:8" x14ac:dyDescent="0.25">
      <c r="A10" s="7"/>
      <c r="B10" s="8"/>
      <c r="C10" s="8"/>
      <c r="D10" s="8"/>
      <c r="E10" s="8"/>
      <c r="F10" s="8"/>
      <c r="G10" s="8"/>
      <c r="H10" s="8"/>
    </row>
    <row r="11" spans="1:8" x14ac:dyDescent="0.25">
      <c r="A11" s="7"/>
      <c r="B11" s="8"/>
      <c r="C11" s="8"/>
      <c r="D11" s="8"/>
      <c r="E11" s="8"/>
      <c r="F11" s="8"/>
      <c r="G11" s="8"/>
      <c r="H11" s="8"/>
    </row>
    <row r="12" spans="1:8" x14ac:dyDescent="0.25">
      <c r="A12" s="7"/>
      <c r="B12" s="8"/>
      <c r="C12" s="8"/>
      <c r="D12" s="8"/>
      <c r="E12" s="8"/>
      <c r="F12" s="8"/>
      <c r="G12" s="8"/>
      <c r="H12" s="8"/>
    </row>
    <row r="13" spans="1:8" x14ac:dyDescent="0.25">
      <c r="A13" s="7"/>
      <c r="B13" s="8"/>
      <c r="C13" s="8"/>
      <c r="D13" s="8"/>
      <c r="E13" s="8"/>
      <c r="F13" s="8"/>
      <c r="G13" s="8"/>
      <c r="H13" s="8"/>
    </row>
    <row r="14" spans="1:8" x14ac:dyDescent="0.25">
      <c r="A14" s="7"/>
      <c r="B14" s="8"/>
      <c r="C14" s="8"/>
      <c r="D14" s="8"/>
      <c r="E14" s="8"/>
      <c r="F14" s="8"/>
      <c r="G14" s="8"/>
      <c r="H14" s="8"/>
    </row>
    <row r="15" spans="1:8" x14ac:dyDescent="0.25">
      <c r="A15" s="7"/>
      <c r="B15" s="8"/>
      <c r="C15" s="8"/>
      <c r="D15" s="8"/>
      <c r="E15" s="8"/>
      <c r="F15" s="8"/>
      <c r="G15" s="8"/>
      <c r="H15" s="8"/>
    </row>
    <row r="16" spans="1:8" x14ac:dyDescent="0.25">
      <c r="A16" s="7"/>
      <c r="B16" s="8"/>
      <c r="C16" s="8"/>
      <c r="D16" s="8"/>
      <c r="E16" s="8"/>
      <c r="F16" s="8"/>
      <c r="G16" s="8"/>
      <c r="H16" s="8"/>
    </row>
    <row r="17" spans="1:8" x14ac:dyDescent="0.25">
      <c r="A17" s="7"/>
      <c r="B17" s="8"/>
      <c r="C17" s="8"/>
      <c r="D17" s="8"/>
      <c r="E17" s="8"/>
      <c r="F17" s="8"/>
      <c r="G17" s="8"/>
      <c r="H17" s="8"/>
    </row>
    <row r="18" spans="1:8" x14ac:dyDescent="0.25">
      <c r="A18" s="7"/>
      <c r="B18" s="8"/>
      <c r="C18" s="8"/>
      <c r="D18" s="8"/>
      <c r="E18" s="8"/>
      <c r="F18" s="8"/>
      <c r="G18" s="8"/>
      <c r="H18" s="8"/>
    </row>
    <row r="19" spans="1:8" x14ac:dyDescent="0.25">
      <c r="A19" s="7"/>
      <c r="B19" s="8"/>
      <c r="C19" s="8"/>
      <c r="D19" s="8"/>
      <c r="E19" s="8"/>
      <c r="F19" s="8"/>
      <c r="G19" s="8"/>
      <c r="H19" s="8"/>
    </row>
    <row r="20" spans="1:8" x14ac:dyDescent="0.25">
      <c r="A20" s="7"/>
      <c r="B20" s="8"/>
      <c r="C20" s="8"/>
      <c r="D20" s="8"/>
      <c r="E20" s="8"/>
      <c r="F20" s="8"/>
      <c r="G20" s="8"/>
      <c r="H20" s="8"/>
    </row>
    <row r="21" spans="1:8" x14ac:dyDescent="0.25">
      <c r="A21" s="7"/>
      <c r="B21" s="8"/>
      <c r="C21" s="8"/>
      <c r="D21" s="8"/>
      <c r="E21" s="8"/>
      <c r="F21" s="8"/>
      <c r="G21" s="8"/>
      <c r="H21" s="8"/>
    </row>
    <row r="22" spans="1:8" x14ac:dyDescent="0.25">
      <c r="A22" s="7"/>
      <c r="B22" s="8"/>
      <c r="C22" s="8"/>
      <c r="D22" s="8"/>
      <c r="E22" s="8"/>
      <c r="F22" s="8"/>
      <c r="G22" s="8"/>
      <c r="H22" s="8"/>
    </row>
    <row r="23" spans="1:8" x14ac:dyDescent="0.25">
      <c r="A23" s="7"/>
      <c r="B23" s="8"/>
      <c r="C23" s="8"/>
      <c r="D23" s="8"/>
      <c r="E23" s="8"/>
      <c r="F23" s="8"/>
      <c r="G23" s="8"/>
      <c r="H23" s="8"/>
    </row>
    <row r="24" spans="1:8" x14ac:dyDescent="0.25">
      <c r="A24" s="7"/>
      <c r="B24" s="8"/>
      <c r="C24" s="8"/>
      <c r="D24" s="8"/>
      <c r="E24" s="8"/>
      <c r="F24" s="8"/>
      <c r="G24" s="8"/>
      <c r="H24" s="8"/>
    </row>
    <row r="25" spans="1:8" x14ac:dyDescent="0.25">
      <c r="A25" s="7"/>
      <c r="B25" s="8"/>
      <c r="C25" s="8"/>
      <c r="D25" s="8"/>
      <c r="E25" s="8"/>
      <c r="F25" s="8"/>
      <c r="G25" s="8"/>
      <c r="H25" s="8"/>
    </row>
    <row r="26" spans="1:8" x14ac:dyDescent="0.25">
      <c r="A26" s="7"/>
      <c r="B26" s="8"/>
      <c r="C26" s="8"/>
      <c r="D26" s="8"/>
      <c r="E26" s="8"/>
      <c r="F26" s="8"/>
      <c r="G26" s="8"/>
      <c r="H26" s="8"/>
    </row>
    <row r="27" spans="1:8" x14ac:dyDescent="0.25">
      <c r="A27" s="7"/>
      <c r="B27" s="8"/>
      <c r="C27" s="8"/>
      <c r="D27" s="8"/>
      <c r="E27" s="8"/>
      <c r="F27" s="8"/>
      <c r="G27" s="8"/>
      <c r="H27" s="8"/>
    </row>
    <row r="28" spans="1:8" x14ac:dyDescent="0.25">
      <c r="A28" s="7"/>
      <c r="B28" s="8"/>
      <c r="C28" s="8"/>
      <c r="D28" s="8"/>
      <c r="E28" s="8"/>
      <c r="F28" s="8"/>
      <c r="G28" s="8"/>
      <c r="H28" s="8"/>
    </row>
    <row r="29" spans="1:8" x14ac:dyDescent="0.25">
      <c r="A29" s="7"/>
      <c r="B29" s="8"/>
      <c r="C29" s="8"/>
      <c r="D29" s="8"/>
      <c r="E29" s="8"/>
      <c r="F29" s="8"/>
      <c r="G29" s="8"/>
      <c r="H29" s="8"/>
    </row>
    <row r="30" spans="1:8" x14ac:dyDescent="0.25">
      <c r="A30" s="7"/>
      <c r="B30" s="8"/>
      <c r="C30" s="8"/>
      <c r="D30" s="8"/>
      <c r="E30" s="8"/>
      <c r="F30" s="8"/>
      <c r="G30" s="8"/>
      <c r="H30" s="8"/>
    </row>
    <row r="31" spans="1:8" x14ac:dyDescent="0.25">
      <c r="A31" s="7"/>
      <c r="B31" s="8"/>
      <c r="C31" s="8"/>
      <c r="D31" s="8"/>
      <c r="E31" s="8"/>
      <c r="F31" s="8"/>
      <c r="G31" s="8"/>
      <c r="H31" s="8"/>
    </row>
    <row r="32" spans="1:8" x14ac:dyDescent="0.25">
      <c r="A32" s="7"/>
      <c r="B32" s="8"/>
      <c r="C32" s="8"/>
      <c r="D32" s="8"/>
      <c r="E32" s="8"/>
      <c r="F32" s="8"/>
      <c r="G32" s="8"/>
      <c r="H32" s="8"/>
    </row>
    <row r="33" spans="1:8" x14ac:dyDescent="0.25">
      <c r="A33" s="7"/>
      <c r="B33" s="8"/>
      <c r="C33" s="8"/>
      <c r="D33" s="8"/>
      <c r="E33" s="8"/>
      <c r="F33" s="8"/>
      <c r="G33" s="8"/>
      <c r="H33" s="8"/>
    </row>
    <row r="34" spans="1:8" x14ac:dyDescent="0.25">
      <c r="A34" s="7"/>
      <c r="B34" s="8"/>
      <c r="C34" s="8"/>
      <c r="D34" s="8"/>
      <c r="E34" s="8"/>
      <c r="F34" s="8"/>
      <c r="G34" s="8"/>
      <c r="H34" s="8"/>
    </row>
    <row r="35" spans="1:8" x14ac:dyDescent="0.25">
      <c r="A35" s="7"/>
      <c r="B35" s="8"/>
      <c r="C35" s="8"/>
      <c r="D35" s="8"/>
      <c r="E35" s="8"/>
      <c r="F35" s="8"/>
      <c r="G35" s="8"/>
      <c r="H35" s="8"/>
    </row>
    <row r="36" spans="1:8" x14ac:dyDescent="0.25">
      <c r="A36" s="7"/>
      <c r="B36" s="8"/>
      <c r="C36" s="8"/>
      <c r="D36" s="8"/>
      <c r="E36" s="8"/>
      <c r="F36" s="8"/>
      <c r="G36" s="8"/>
      <c r="H36" s="8"/>
    </row>
    <row r="37" spans="1:8" x14ac:dyDescent="0.25">
      <c r="A37" s="7"/>
      <c r="B37" s="8"/>
      <c r="C37" s="8"/>
      <c r="D37" s="8"/>
      <c r="E37" s="8"/>
      <c r="F37" s="8"/>
      <c r="G37" s="8"/>
      <c r="H37" s="8"/>
    </row>
    <row r="38" spans="1:8" x14ac:dyDescent="0.25">
      <c r="A38" s="7"/>
      <c r="B38" s="8"/>
      <c r="C38" s="8"/>
      <c r="D38" s="8"/>
      <c r="E38" s="8"/>
      <c r="F38" s="8"/>
      <c r="G38" s="8"/>
      <c r="H38" s="8"/>
    </row>
    <row r="39" spans="1:8" x14ac:dyDescent="0.25">
      <c r="A39" s="7"/>
      <c r="B39" s="8"/>
      <c r="C39" s="8"/>
      <c r="D39" s="8"/>
      <c r="E39" s="8"/>
      <c r="F39" s="8"/>
      <c r="G39" s="8"/>
      <c r="H39" s="8"/>
    </row>
    <row r="40" spans="1:8" x14ac:dyDescent="0.25">
      <c r="A40" s="7"/>
      <c r="B40" s="8"/>
      <c r="C40" s="8"/>
      <c r="D40" s="8"/>
      <c r="E40" s="8"/>
      <c r="F40" s="8"/>
      <c r="G40" s="8"/>
      <c r="H40" s="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Tambah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171450</xdr:rowOff>
              </from>
              <to>
                <xdr:col>2</xdr:col>
                <xdr:colOff>1743075</xdr:colOff>
                <xdr:row>2</xdr:row>
                <xdr:rowOff>180975</xdr:rowOff>
              </to>
            </anchor>
          </controlPr>
        </control>
      </mc:Choice>
      <mc:Fallback>
        <control shapeId="1025" r:id="rId4" name="btnTambah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28EDF-F363-43B9-81E9-19E61E28488C}">
  <sheetPr codeName="Sheet2"/>
  <dimension ref="A1:AB19"/>
  <sheetViews>
    <sheetView showGridLines="0" zoomScaleNormal="100" workbookViewId="0">
      <selection activeCell="F3" sqref="F3"/>
    </sheetView>
  </sheetViews>
  <sheetFormatPr defaultRowHeight="15" x14ac:dyDescent="0.25"/>
  <cols>
    <col min="1" max="1" width="17.140625" customWidth="1"/>
    <col min="2" max="2" width="17" customWidth="1"/>
    <col min="3" max="3" width="18.7109375" customWidth="1"/>
    <col min="4" max="4" width="16.5703125" customWidth="1"/>
    <col min="5" max="5" width="17.85546875" customWidth="1"/>
    <col min="6" max="6" width="18.140625" customWidth="1"/>
    <col min="7" max="7" width="14.7109375" customWidth="1"/>
    <col min="8" max="8" width="13.42578125" customWidth="1"/>
    <col min="12" max="12" width="11.28515625" customWidth="1"/>
    <col min="13" max="13" width="15" customWidth="1"/>
    <col min="14" max="14" width="15.7109375" customWidth="1"/>
    <col min="15" max="15" width="13.85546875" customWidth="1"/>
    <col min="16" max="16" width="14.5703125" customWidth="1"/>
    <col min="17" max="17" width="14.42578125" customWidth="1"/>
    <col min="18" max="18" width="12.5703125" customWidth="1"/>
    <col min="24" max="24" width="8.28515625" customWidth="1"/>
    <col min="25" max="25" width="0.85546875" customWidth="1"/>
    <col min="26" max="26" width="9.140625" hidden="1" customWidth="1"/>
    <col min="27" max="27" width="18.85546875" hidden="1" customWidth="1"/>
    <col min="28" max="28" width="19.28515625" hidden="1" customWidth="1"/>
  </cols>
  <sheetData>
    <row r="1" spans="1:28" x14ac:dyDescent="0.25">
      <c r="A1" s="47" t="s">
        <v>19</v>
      </c>
      <c r="B1" s="47"/>
      <c r="C1" s="47"/>
      <c r="D1" s="47"/>
      <c r="E1" s="47"/>
      <c r="F1" s="47"/>
      <c r="G1" s="47"/>
    </row>
    <row r="2" spans="1:28" ht="15.75" thickBot="1" x14ac:dyDescent="0.3">
      <c r="A2" s="48"/>
      <c r="B2" s="48"/>
      <c r="C2" s="48"/>
      <c r="D2" s="48"/>
      <c r="E2" s="48"/>
      <c r="F2" s="48"/>
      <c r="G2" s="48"/>
    </row>
    <row r="3" spans="1:28" ht="18.75" customHeight="1" thickTop="1" thickBot="1" x14ac:dyDescent="0.35">
      <c r="A3" s="39" t="s">
        <v>17</v>
      </c>
      <c r="B3" s="40"/>
      <c r="C3" s="40"/>
      <c r="D3" s="40"/>
      <c r="E3" s="40"/>
      <c r="F3" s="40"/>
      <c r="G3" s="41"/>
      <c r="H3" s="9"/>
      <c r="I3" s="4"/>
      <c r="AA3">
        <f>MAX(S5:S15)</f>
        <v>0</v>
      </c>
      <c r="AB3" t="e">
        <f>INDEX(L5:L15,MATCH(AA3,S5:S15,0))</f>
        <v>#N/A</v>
      </c>
    </row>
    <row r="4" spans="1:28" ht="35.25" customHeight="1" thickTop="1" x14ac:dyDescent="0.25">
      <c r="A4" s="35" t="s">
        <v>0</v>
      </c>
      <c r="B4" s="36" t="s">
        <v>15</v>
      </c>
      <c r="C4" s="36" t="s">
        <v>7</v>
      </c>
      <c r="D4" s="36" t="s">
        <v>2</v>
      </c>
      <c r="E4" s="36" t="s">
        <v>4</v>
      </c>
      <c r="F4" s="37" t="s">
        <v>18</v>
      </c>
      <c r="G4" s="38" t="s">
        <v>3</v>
      </c>
      <c r="H4" s="9"/>
      <c r="I4" s="5"/>
      <c r="L4" s="15" t="s">
        <v>0</v>
      </c>
      <c r="M4" s="16" t="s">
        <v>15</v>
      </c>
      <c r="N4" s="16" t="s">
        <v>7</v>
      </c>
      <c r="O4" s="16" t="s">
        <v>2</v>
      </c>
      <c r="P4" s="16" t="s">
        <v>4</v>
      </c>
      <c r="Q4" s="17" t="s">
        <v>18</v>
      </c>
      <c r="R4" s="16" t="s">
        <v>3</v>
      </c>
      <c r="S4" s="32" t="s">
        <v>23</v>
      </c>
      <c r="AB4" t="s">
        <v>25</v>
      </c>
    </row>
    <row r="5" spans="1:28" ht="16.5" thickBot="1" x14ac:dyDescent="0.3">
      <c r="A5" s="27"/>
      <c r="B5" s="26"/>
      <c r="C5" s="26"/>
      <c r="D5" s="26"/>
      <c r="E5" s="26"/>
      <c r="F5" s="26"/>
      <c r="G5" s="28"/>
      <c r="H5" s="9"/>
      <c r="I5" s="6"/>
      <c r="L5" s="27" t="str">
        <f>IF(A5&lt;&gt;"",A5,"")</f>
        <v/>
      </c>
      <c r="M5" s="26" t="str">
        <f>IF(B5&lt;&gt;"",B5*$B$3,"")</f>
        <v/>
      </c>
      <c r="N5" s="26" t="str">
        <f>IF(C5&lt;&gt;"",C5*$C$3,"")</f>
        <v/>
      </c>
      <c r="O5" s="26" t="str">
        <f>IF(D5&lt;&gt;"",D5*$D$3,"")</f>
        <v/>
      </c>
      <c r="P5" s="26" t="str">
        <f>IF(E5&lt;&gt;"",E5*$E$3,"")</f>
        <v/>
      </c>
      <c r="Q5" s="26" t="str">
        <f>IF(F5&lt;&gt;"",F5*$F$3,"")</f>
        <v/>
      </c>
      <c r="R5" s="26" t="str">
        <f>IF(G5&lt;&gt;"",G5*$G$3,"")</f>
        <v/>
      </c>
      <c r="S5" s="33" t="str">
        <f>IF(L5&lt;&gt;"",SUM(M5:R5),"")</f>
        <v/>
      </c>
      <c r="AB5" t="s">
        <v>26</v>
      </c>
    </row>
    <row r="6" spans="1:28" ht="16.5" thickTop="1" x14ac:dyDescent="0.25">
      <c r="A6" s="27"/>
      <c r="B6" s="26"/>
      <c r="C6" s="26"/>
      <c r="D6" s="26"/>
      <c r="E6" s="26"/>
      <c r="F6" s="26"/>
      <c r="G6" s="28"/>
      <c r="H6" s="9"/>
      <c r="I6" s="6"/>
      <c r="L6" s="27" t="str">
        <f t="shared" ref="L6:L15" si="0">IF(A6&lt;&gt;"",A6,"")</f>
        <v/>
      </c>
      <c r="M6" s="26" t="str">
        <f t="shared" ref="M6:M15" si="1">IF(B6&lt;&gt;"",B6*$B$3,"")</f>
        <v/>
      </c>
      <c r="N6" s="26" t="str">
        <f t="shared" ref="N6:N15" si="2">IF(C6&lt;&gt;"",C6*$C$3,"")</f>
        <v/>
      </c>
      <c r="O6" s="26" t="str">
        <f t="shared" ref="O6:O15" si="3">IF(D6&lt;&gt;"",D6*$D$3,"")</f>
        <v/>
      </c>
      <c r="P6" s="26" t="str">
        <f t="shared" ref="P6:P15" si="4">IF(E6&lt;&gt;"",E6*$E$3,"")</f>
        <v/>
      </c>
      <c r="Q6" s="26" t="str">
        <f t="shared" ref="Q6:Q15" si="5">IF(F6&lt;&gt;"",F6*$F$3,"")</f>
        <v/>
      </c>
      <c r="R6" s="26" t="str">
        <f t="shared" ref="R6:R15" si="6">IF(G6&lt;&gt;"",G6*$G$3,"")</f>
        <v/>
      </c>
      <c r="S6" s="33" t="str">
        <f t="shared" ref="S6:S15" si="7">IF(L6&lt;&gt;"",SUM(M6:R6),"")</f>
        <v/>
      </c>
      <c r="U6" s="55" t="s">
        <v>24</v>
      </c>
      <c r="V6" s="56"/>
      <c r="W6" s="56"/>
      <c r="X6" s="57"/>
      <c r="AB6" t="e">
        <f>AB4&amp;" "&amp;AB3&amp;" "&amp;AB5&amp;" "&amp;AA3</f>
        <v>#N/A</v>
      </c>
    </row>
    <row r="7" spans="1:28" ht="15.75" x14ac:dyDescent="0.25">
      <c r="A7" s="27"/>
      <c r="B7" s="26"/>
      <c r="C7" s="26"/>
      <c r="D7" s="26"/>
      <c r="E7" s="26"/>
      <c r="F7" s="26"/>
      <c r="G7" s="28"/>
      <c r="H7" s="9"/>
      <c r="I7" s="6"/>
      <c r="L7" s="27" t="str">
        <f t="shared" si="0"/>
        <v/>
      </c>
      <c r="M7" s="26" t="str">
        <f t="shared" si="1"/>
        <v/>
      </c>
      <c r="N7" s="26" t="str">
        <f t="shared" si="2"/>
        <v/>
      </c>
      <c r="O7" s="26" t="str">
        <f t="shared" si="3"/>
        <v/>
      </c>
      <c r="P7" s="26" t="str">
        <f t="shared" si="4"/>
        <v/>
      </c>
      <c r="Q7" s="26" t="str">
        <f t="shared" si="5"/>
        <v/>
      </c>
      <c r="R7" s="26" t="str">
        <f t="shared" si="6"/>
        <v/>
      </c>
      <c r="S7" s="33" t="str">
        <f t="shared" si="7"/>
        <v/>
      </c>
      <c r="U7" s="49" t="str">
        <f>IF(L5&lt;&gt;"",AB6,"")</f>
        <v/>
      </c>
      <c r="V7" s="50"/>
      <c r="W7" s="50"/>
      <c r="X7" s="51"/>
    </row>
    <row r="8" spans="1:28" ht="15.75" x14ac:dyDescent="0.25">
      <c r="A8" s="27"/>
      <c r="B8" s="26"/>
      <c r="C8" s="26"/>
      <c r="D8" s="26"/>
      <c r="E8" s="26"/>
      <c r="F8" s="26"/>
      <c r="G8" s="28"/>
      <c r="H8" s="9"/>
      <c r="I8" s="6"/>
      <c r="L8" s="27" t="str">
        <f t="shared" si="0"/>
        <v/>
      </c>
      <c r="M8" s="26" t="str">
        <f t="shared" si="1"/>
        <v/>
      </c>
      <c r="N8" s="26" t="str">
        <f t="shared" si="2"/>
        <v/>
      </c>
      <c r="O8" s="26" t="str">
        <f t="shared" si="3"/>
        <v/>
      </c>
      <c r="P8" s="26" t="str">
        <f t="shared" si="4"/>
        <v/>
      </c>
      <c r="Q8" s="26" t="str">
        <f t="shared" si="5"/>
        <v/>
      </c>
      <c r="R8" s="26" t="str">
        <f t="shared" si="6"/>
        <v/>
      </c>
      <c r="S8" s="33" t="str">
        <f t="shared" si="7"/>
        <v/>
      </c>
      <c r="U8" s="49"/>
      <c r="V8" s="50"/>
      <c r="W8" s="50"/>
      <c r="X8" s="51"/>
    </row>
    <row r="9" spans="1:28" ht="16.5" thickBot="1" x14ac:dyDescent="0.3">
      <c r="A9" s="27"/>
      <c r="B9" s="26"/>
      <c r="C9" s="26"/>
      <c r="D9" s="26"/>
      <c r="E9" s="26"/>
      <c r="F9" s="26"/>
      <c r="G9" s="28"/>
      <c r="H9" s="9"/>
      <c r="I9" s="6"/>
      <c r="L9" s="27" t="str">
        <f t="shared" si="0"/>
        <v/>
      </c>
      <c r="M9" s="26" t="str">
        <f t="shared" si="1"/>
        <v/>
      </c>
      <c r="N9" s="26" t="str">
        <f t="shared" si="2"/>
        <v/>
      </c>
      <c r="O9" s="26" t="str">
        <f t="shared" si="3"/>
        <v/>
      </c>
      <c r="P9" s="26" t="str">
        <f t="shared" si="4"/>
        <v/>
      </c>
      <c r="Q9" s="26" t="str">
        <f t="shared" si="5"/>
        <v/>
      </c>
      <c r="R9" s="26" t="str">
        <f t="shared" si="6"/>
        <v/>
      </c>
      <c r="S9" s="33" t="str">
        <f t="shared" si="7"/>
        <v/>
      </c>
      <c r="U9" s="52"/>
      <c r="V9" s="53"/>
      <c r="W9" s="53"/>
      <c r="X9" s="54"/>
    </row>
    <row r="10" spans="1:28" ht="16.5" thickTop="1" x14ac:dyDescent="0.25">
      <c r="A10" s="27"/>
      <c r="B10" s="26"/>
      <c r="C10" s="26"/>
      <c r="D10" s="26"/>
      <c r="E10" s="26"/>
      <c r="F10" s="26"/>
      <c r="G10" s="28"/>
      <c r="H10" s="9"/>
      <c r="I10" s="6"/>
      <c r="L10" s="27" t="str">
        <f t="shared" si="0"/>
        <v/>
      </c>
      <c r="M10" s="26" t="str">
        <f t="shared" si="1"/>
        <v/>
      </c>
      <c r="N10" s="26" t="str">
        <f t="shared" si="2"/>
        <v/>
      </c>
      <c r="O10" s="26" t="str">
        <f t="shared" si="3"/>
        <v/>
      </c>
      <c r="P10" s="26" t="str">
        <f t="shared" si="4"/>
        <v/>
      </c>
      <c r="Q10" s="26" t="str">
        <f t="shared" si="5"/>
        <v/>
      </c>
      <c r="R10" s="26" t="str">
        <f t="shared" si="6"/>
        <v/>
      </c>
      <c r="S10" s="33" t="str">
        <f t="shared" si="7"/>
        <v/>
      </c>
    </row>
    <row r="11" spans="1:28" ht="15.75" x14ac:dyDescent="0.25">
      <c r="A11" s="27"/>
      <c r="B11" s="26"/>
      <c r="C11" s="26"/>
      <c r="D11" s="26"/>
      <c r="E11" s="26"/>
      <c r="F11" s="26"/>
      <c r="G11" s="28"/>
      <c r="H11" s="9"/>
      <c r="I11" s="6"/>
      <c r="L11" s="27" t="str">
        <f t="shared" si="0"/>
        <v/>
      </c>
      <c r="M11" s="26" t="str">
        <f t="shared" si="1"/>
        <v/>
      </c>
      <c r="N11" s="26" t="str">
        <f t="shared" si="2"/>
        <v/>
      </c>
      <c r="O11" s="26" t="str">
        <f t="shared" si="3"/>
        <v/>
      </c>
      <c r="P11" s="26" t="str">
        <f t="shared" si="4"/>
        <v/>
      </c>
      <c r="Q11" s="26" t="str">
        <f t="shared" si="5"/>
        <v/>
      </c>
      <c r="R11" s="26" t="str">
        <f t="shared" si="6"/>
        <v/>
      </c>
      <c r="S11" s="33" t="str">
        <f t="shared" si="7"/>
        <v/>
      </c>
    </row>
    <row r="12" spans="1:28" ht="15.75" x14ac:dyDescent="0.25">
      <c r="A12" s="27"/>
      <c r="B12" s="26"/>
      <c r="C12" s="26"/>
      <c r="D12" s="26"/>
      <c r="E12" s="26"/>
      <c r="F12" s="26"/>
      <c r="G12" s="28"/>
      <c r="H12" s="9"/>
      <c r="I12" s="6"/>
      <c r="L12" s="27" t="str">
        <f t="shared" si="0"/>
        <v/>
      </c>
      <c r="M12" s="26" t="str">
        <f t="shared" si="1"/>
        <v/>
      </c>
      <c r="N12" s="26" t="str">
        <f t="shared" si="2"/>
        <v/>
      </c>
      <c r="O12" s="26" t="str">
        <f t="shared" si="3"/>
        <v/>
      </c>
      <c r="P12" s="26" t="str">
        <f t="shared" si="4"/>
        <v/>
      </c>
      <c r="Q12" s="26" t="str">
        <f t="shared" si="5"/>
        <v/>
      </c>
      <c r="R12" s="26" t="str">
        <f t="shared" si="6"/>
        <v/>
      </c>
      <c r="S12" s="33" t="str">
        <f t="shared" si="7"/>
        <v/>
      </c>
    </row>
    <row r="13" spans="1:28" ht="15.75" x14ac:dyDescent="0.25">
      <c r="A13" s="27"/>
      <c r="B13" s="26"/>
      <c r="C13" s="26"/>
      <c r="D13" s="26"/>
      <c r="E13" s="26"/>
      <c r="F13" s="26"/>
      <c r="G13" s="28"/>
      <c r="H13" s="9"/>
      <c r="I13" s="6"/>
      <c r="L13" s="27" t="str">
        <f t="shared" si="0"/>
        <v/>
      </c>
      <c r="M13" s="26" t="str">
        <f t="shared" si="1"/>
        <v/>
      </c>
      <c r="N13" s="26" t="str">
        <f t="shared" si="2"/>
        <v/>
      </c>
      <c r="O13" s="26" t="str">
        <f t="shared" si="3"/>
        <v/>
      </c>
      <c r="P13" s="26" t="str">
        <f t="shared" si="4"/>
        <v/>
      </c>
      <c r="Q13" s="26" t="str">
        <f t="shared" si="5"/>
        <v/>
      </c>
      <c r="R13" s="26" t="str">
        <f t="shared" si="6"/>
        <v/>
      </c>
      <c r="S13" s="33" t="str">
        <f t="shared" si="7"/>
        <v/>
      </c>
    </row>
    <row r="14" spans="1:28" ht="15.75" x14ac:dyDescent="0.25">
      <c r="A14" s="27"/>
      <c r="B14" s="26"/>
      <c r="C14" s="26"/>
      <c r="D14" s="26"/>
      <c r="E14" s="26"/>
      <c r="F14" s="26"/>
      <c r="G14" s="28"/>
      <c r="H14" s="9"/>
      <c r="I14" s="6"/>
      <c r="L14" s="27" t="str">
        <f t="shared" si="0"/>
        <v/>
      </c>
      <c r="M14" s="26" t="str">
        <f t="shared" si="1"/>
        <v/>
      </c>
      <c r="N14" s="26" t="str">
        <f t="shared" si="2"/>
        <v/>
      </c>
      <c r="O14" s="26" t="str">
        <f t="shared" si="3"/>
        <v/>
      </c>
      <c r="P14" s="26" t="str">
        <f t="shared" si="4"/>
        <v/>
      </c>
      <c r="Q14" s="26" t="str">
        <f t="shared" si="5"/>
        <v/>
      </c>
      <c r="R14" s="26" t="str">
        <f t="shared" si="6"/>
        <v/>
      </c>
      <c r="S14" s="33" t="str">
        <f t="shared" si="7"/>
        <v/>
      </c>
    </row>
    <row r="15" spans="1:28" ht="16.5" thickBot="1" x14ac:dyDescent="0.3">
      <c r="A15" s="29"/>
      <c r="B15" s="30"/>
      <c r="C15" s="30"/>
      <c r="D15" s="30"/>
      <c r="E15" s="30"/>
      <c r="F15" s="30"/>
      <c r="G15" s="31"/>
      <c r="H15" s="9"/>
      <c r="I15" s="6"/>
      <c r="L15" s="29" t="str">
        <f t="shared" si="0"/>
        <v/>
      </c>
      <c r="M15" s="30" t="str">
        <f t="shared" si="1"/>
        <v/>
      </c>
      <c r="N15" s="30" t="str">
        <f t="shared" si="2"/>
        <v/>
      </c>
      <c r="O15" s="30" t="str">
        <f t="shared" si="3"/>
        <v/>
      </c>
      <c r="P15" s="30" t="str">
        <f t="shared" si="4"/>
        <v/>
      </c>
      <c r="Q15" s="30" t="str">
        <f t="shared" si="5"/>
        <v/>
      </c>
      <c r="R15" s="30" t="str">
        <f t="shared" si="6"/>
        <v/>
      </c>
      <c r="S15" s="34" t="str">
        <f t="shared" si="7"/>
        <v/>
      </c>
    </row>
    <row r="16" spans="1:28" ht="15.75" thickTop="1" x14ac:dyDescent="0.25">
      <c r="A16" s="45"/>
      <c r="B16" s="43"/>
      <c r="C16" s="43"/>
      <c r="D16" s="43"/>
      <c r="E16" s="43"/>
      <c r="F16" s="43"/>
      <c r="G16" s="43"/>
    </row>
    <row r="17" spans="1:7" x14ac:dyDescent="0.25">
      <c r="A17" s="46"/>
      <c r="B17" s="44"/>
      <c r="C17" s="44"/>
      <c r="D17" s="44"/>
      <c r="E17" s="44"/>
      <c r="F17" s="44"/>
      <c r="G17" s="44"/>
    </row>
    <row r="18" spans="1:7" x14ac:dyDescent="0.25">
      <c r="B18" t="s">
        <v>16</v>
      </c>
    </row>
    <row r="19" spans="1:7" x14ac:dyDescent="0.25">
      <c r="B19" t="s">
        <v>16</v>
      </c>
    </row>
  </sheetData>
  <mergeCells count="5">
    <mergeCell ref="B16:G17"/>
    <mergeCell ref="A16:A17"/>
    <mergeCell ref="A1:G2"/>
    <mergeCell ref="U7:X9"/>
    <mergeCell ref="U6:X6"/>
  </mergeCells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409575</xdr:colOff>
                <xdr:row>10</xdr:row>
                <xdr:rowOff>95250</xdr:rowOff>
              </from>
              <to>
                <xdr:col>10</xdr:col>
                <xdr:colOff>38100</xdr:colOff>
                <xdr:row>12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BersihkanFaktor">
          <controlPr defaultSize="0" autoLine="0" r:id="rId6">
            <anchor moveWithCells="1">
              <from>
                <xdr:col>7</xdr:col>
                <xdr:colOff>428625</xdr:colOff>
                <xdr:row>13</xdr:row>
                <xdr:rowOff>0</xdr:rowOff>
              </from>
              <to>
                <xdr:col>10</xdr:col>
                <xdr:colOff>38100</xdr:colOff>
                <xdr:row>14</xdr:row>
                <xdr:rowOff>142875</xdr:rowOff>
              </to>
            </anchor>
          </controlPr>
        </control>
      </mc:Choice>
      <mc:Fallback>
        <control shapeId="2050" r:id="rId5" name="BersihkanFaktor"/>
      </mc:Fallback>
    </mc:AlternateContent>
    <mc:AlternateContent xmlns:mc="http://schemas.openxmlformats.org/markup-compatibility/2006">
      <mc:Choice Requires="x14">
        <control shapeId="2051" r:id="rId7" name="btn_inputBobotFaktor">
          <controlPr defaultSize="0" autoLine="0" r:id="rId8">
            <anchor moveWithCells="1">
              <from>
                <xdr:col>7</xdr:col>
                <xdr:colOff>381000</xdr:colOff>
                <xdr:row>2</xdr:row>
                <xdr:rowOff>104775</xdr:rowOff>
              </from>
              <to>
                <xdr:col>10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2051" r:id="rId7" name="btn_inputBobotFaktor"/>
      </mc:Fallback>
    </mc:AlternateContent>
    <mc:AlternateContent xmlns:mc="http://schemas.openxmlformats.org/markup-compatibility/2006">
      <mc:Choice Requires="x14">
        <control shapeId="2052" r:id="rId9" name="btn_bersihkanBobotFaktor">
          <controlPr defaultSize="0" autoLine="0" r:id="rId10">
            <anchor moveWithCells="1">
              <from>
                <xdr:col>7</xdr:col>
                <xdr:colOff>381000</xdr:colOff>
                <xdr:row>4</xdr:row>
                <xdr:rowOff>57150</xdr:rowOff>
              </from>
              <to>
                <xdr:col>10</xdr:col>
                <xdr:colOff>38100</xdr:colOff>
                <xdr:row>5</xdr:row>
                <xdr:rowOff>200025</xdr:rowOff>
              </to>
            </anchor>
          </controlPr>
        </control>
      </mc:Choice>
      <mc:Fallback>
        <control shapeId="2052" r:id="rId9" name="btn_bersihkanBobotFakto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62BA1-A729-49BF-A1EB-F2176B98A673}">
  <sheetPr codeName="Sheet3"/>
  <dimension ref="A1:R18"/>
  <sheetViews>
    <sheetView showGridLines="0" zoomScale="85" zoomScaleNormal="85" workbookViewId="0">
      <selection activeCell="O5" sqref="O5"/>
    </sheetView>
  </sheetViews>
  <sheetFormatPr defaultRowHeight="15" x14ac:dyDescent="0.25"/>
  <cols>
    <col min="1" max="1" width="12.140625" customWidth="1"/>
    <col min="2" max="2" width="16.140625" customWidth="1"/>
    <col min="3" max="3" width="15.85546875" customWidth="1"/>
    <col min="4" max="4" width="14.140625" customWidth="1"/>
    <col min="5" max="5" width="14" customWidth="1"/>
    <col min="6" max="6" width="17.85546875" customWidth="1"/>
    <col min="7" max="7" width="12.5703125" customWidth="1"/>
    <col min="8" max="8" width="10.42578125" customWidth="1"/>
    <col min="10" max="10" width="45.42578125" customWidth="1"/>
    <col min="15" max="15" width="5" customWidth="1"/>
    <col min="16" max="16" width="5" hidden="1" customWidth="1"/>
    <col min="17" max="17" width="12.5703125" hidden="1" customWidth="1"/>
    <col min="18" max="18" width="12.85546875" hidden="1" customWidth="1"/>
    <col min="19" max="19" width="5" customWidth="1"/>
  </cols>
  <sheetData>
    <row r="1" spans="1:18" ht="15" customHeight="1" x14ac:dyDescent="0.25">
      <c r="A1" s="47" t="s">
        <v>20</v>
      </c>
      <c r="B1" s="47"/>
      <c r="C1" s="47"/>
      <c r="D1" s="47"/>
      <c r="E1" s="47"/>
      <c r="F1" s="47"/>
      <c r="G1" s="47"/>
    </row>
    <row r="2" spans="1:18" ht="15" customHeight="1" x14ac:dyDescent="0.25">
      <c r="A2" s="47"/>
      <c r="B2" s="47"/>
      <c r="C2" s="47"/>
      <c r="D2" s="47"/>
      <c r="E2" s="47"/>
      <c r="F2" s="47"/>
      <c r="G2" s="47"/>
      <c r="P2">
        <f>MAX(H5:H15)</f>
        <v>0</v>
      </c>
      <c r="Q2" t="e">
        <f>INDEX(A5:A15,MATCH(P2,H5:H15,0))</f>
        <v>#N/A</v>
      </c>
      <c r="R2" s="14" t="s">
        <v>21</v>
      </c>
    </row>
    <row r="3" spans="1:18" ht="18.75" customHeight="1" thickBot="1" x14ac:dyDescent="0.3">
      <c r="A3" s="47"/>
      <c r="B3" s="47"/>
      <c r="C3" s="47"/>
      <c r="D3" s="47"/>
      <c r="E3" s="47"/>
      <c r="F3" s="47"/>
      <c r="G3" s="47"/>
      <c r="H3" s="9"/>
      <c r="I3" s="4"/>
      <c r="R3" t="s">
        <v>22</v>
      </c>
    </row>
    <row r="4" spans="1:18" ht="37.5" customHeight="1" thickTop="1" x14ac:dyDescent="0.25">
      <c r="A4" s="15" t="s">
        <v>0</v>
      </c>
      <c r="B4" s="16" t="s">
        <v>15</v>
      </c>
      <c r="C4" s="16" t="s">
        <v>7</v>
      </c>
      <c r="D4" s="16" t="s">
        <v>2</v>
      </c>
      <c r="E4" s="16" t="s">
        <v>4</v>
      </c>
      <c r="F4" s="17" t="s">
        <v>18</v>
      </c>
      <c r="G4" s="16" t="s">
        <v>3</v>
      </c>
      <c r="H4" s="18" t="s">
        <v>23</v>
      </c>
      <c r="I4" s="5"/>
      <c r="R4" t="e">
        <f>R2&amp;" "&amp;Q2&amp;" "&amp;R3&amp;" "&amp;P2</f>
        <v>#N/A</v>
      </c>
    </row>
    <row r="5" spans="1:18" ht="15.75" x14ac:dyDescent="0.25">
      <c r="A5" s="19"/>
      <c r="B5" s="12"/>
      <c r="C5" s="13"/>
      <c r="D5" s="13"/>
      <c r="E5" s="13"/>
      <c r="F5" s="13"/>
      <c r="G5" s="13"/>
      <c r="H5" s="20" t="str">
        <f>IF(A5&lt;&gt;"",SUM(B5:G5),"")</f>
        <v/>
      </c>
    </row>
    <row r="6" spans="1:18" ht="15.75" x14ac:dyDescent="0.25">
      <c r="A6" s="21"/>
      <c r="B6" s="10"/>
      <c r="C6" s="11"/>
      <c r="D6" s="11"/>
      <c r="E6" s="11"/>
      <c r="F6" s="11"/>
      <c r="G6" s="11"/>
      <c r="H6" s="20" t="str">
        <f t="shared" ref="H6:H15" si="0">IF(A6&lt;&gt;"",SUM(B6:G6),"")</f>
        <v/>
      </c>
    </row>
    <row r="7" spans="1:18" ht="15.75" x14ac:dyDescent="0.25">
      <c r="A7" s="21"/>
      <c r="B7" s="10"/>
      <c r="C7" s="11"/>
      <c r="D7" s="11"/>
      <c r="E7" s="11"/>
      <c r="F7" s="11"/>
      <c r="G7" s="11"/>
      <c r="H7" s="20" t="str">
        <f t="shared" si="0"/>
        <v/>
      </c>
    </row>
    <row r="8" spans="1:18" ht="15.75" x14ac:dyDescent="0.25">
      <c r="A8" s="21"/>
      <c r="B8" s="10"/>
      <c r="C8" s="11"/>
      <c r="D8" s="11"/>
      <c r="E8" s="11"/>
      <c r="F8" s="11"/>
      <c r="G8" s="11"/>
      <c r="H8" s="20" t="str">
        <f t="shared" si="0"/>
        <v/>
      </c>
    </row>
    <row r="9" spans="1:18" ht="16.5" thickBot="1" x14ac:dyDescent="0.3">
      <c r="A9" s="21"/>
      <c r="B9" s="10"/>
      <c r="C9" s="11"/>
      <c r="D9" s="11"/>
      <c r="E9" s="11"/>
      <c r="F9" s="11"/>
      <c r="G9" s="11"/>
      <c r="H9" s="20" t="str">
        <f t="shared" si="0"/>
        <v/>
      </c>
    </row>
    <row r="10" spans="1:18" ht="16.5" thickTop="1" x14ac:dyDescent="0.25">
      <c r="A10" s="21"/>
      <c r="B10" s="10"/>
      <c r="C10" s="11"/>
      <c r="D10" s="11"/>
      <c r="E10" s="11"/>
      <c r="F10" s="11"/>
      <c r="G10" s="11"/>
      <c r="H10" s="20" t="str">
        <f t="shared" si="0"/>
        <v/>
      </c>
      <c r="J10" s="55" t="s">
        <v>24</v>
      </c>
      <c r="K10" s="56"/>
      <c r="L10" s="57"/>
    </row>
    <row r="11" spans="1:18" ht="15.75" x14ac:dyDescent="0.25">
      <c r="A11" s="21"/>
      <c r="B11" s="10"/>
      <c r="C11" s="11"/>
      <c r="D11" s="11"/>
      <c r="E11" s="11"/>
      <c r="F11" s="11"/>
      <c r="G11" s="11"/>
      <c r="H11" s="20" t="str">
        <f t="shared" si="0"/>
        <v/>
      </c>
      <c r="J11" s="58" t="str">
        <f>IF(A5&lt;&gt;"",R4,"")</f>
        <v/>
      </c>
      <c r="K11" s="59"/>
      <c r="L11" s="60"/>
    </row>
    <row r="12" spans="1:18" ht="16.5" thickBot="1" x14ac:dyDescent="0.3">
      <c r="A12" s="21"/>
      <c r="B12" s="10"/>
      <c r="C12" s="11"/>
      <c r="D12" s="11"/>
      <c r="E12" s="11"/>
      <c r="F12" s="11"/>
      <c r="G12" s="11"/>
      <c r="H12" s="20" t="str">
        <f t="shared" si="0"/>
        <v/>
      </c>
      <c r="J12" s="61"/>
      <c r="K12" s="62"/>
      <c r="L12" s="63"/>
    </row>
    <row r="13" spans="1:18" ht="16.5" thickTop="1" x14ac:dyDescent="0.25">
      <c r="A13" s="21"/>
      <c r="B13" s="10"/>
      <c r="C13" s="11"/>
      <c r="D13" s="11"/>
      <c r="E13" s="11"/>
      <c r="F13" s="11"/>
      <c r="G13" s="11"/>
      <c r="H13" s="20" t="str">
        <f t="shared" si="0"/>
        <v/>
      </c>
    </row>
    <row r="14" spans="1:18" ht="15.75" x14ac:dyDescent="0.25">
      <c r="A14" s="21"/>
      <c r="B14" s="10"/>
      <c r="C14" s="11"/>
      <c r="D14" s="11"/>
      <c r="E14" s="11"/>
      <c r="F14" s="11"/>
      <c r="G14" s="11"/>
      <c r="H14" s="20" t="str">
        <f t="shared" si="0"/>
        <v/>
      </c>
    </row>
    <row r="15" spans="1:18" ht="16.5" thickBot="1" x14ac:dyDescent="0.3">
      <c r="A15" s="22"/>
      <c r="B15" s="23"/>
      <c r="C15" s="24"/>
      <c r="D15" s="24"/>
      <c r="E15" s="24"/>
      <c r="F15" s="24"/>
      <c r="G15" s="24"/>
      <c r="H15" s="25" t="str">
        <f t="shared" si="0"/>
        <v/>
      </c>
    </row>
    <row r="16" spans="1:18" ht="15.75" thickTop="1" x14ac:dyDescent="0.25">
      <c r="A16" s="45"/>
      <c r="B16" s="43" t="s">
        <v>16</v>
      </c>
      <c r="C16" s="43"/>
      <c r="D16" s="43"/>
      <c r="E16" s="43"/>
      <c r="F16" s="43"/>
      <c r="G16" s="43"/>
    </row>
    <row r="17" spans="1:7" x14ac:dyDescent="0.25">
      <c r="A17" s="45"/>
      <c r="B17" s="43"/>
      <c r="C17" s="43"/>
      <c r="D17" s="43"/>
      <c r="E17" s="43"/>
      <c r="F17" s="43"/>
      <c r="G17" s="43"/>
    </row>
    <row r="18" spans="1:7" x14ac:dyDescent="0.25">
      <c r="B18" t="s">
        <v>16</v>
      </c>
    </row>
  </sheetData>
  <mergeCells count="5">
    <mergeCell ref="A16:A17"/>
    <mergeCell ref="B16:G17"/>
    <mergeCell ref="A1:G3"/>
    <mergeCell ref="J11:L12"/>
    <mergeCell ref="J10:L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9</xdr:col>
                <xdr:colOff>19050</xdr:colOff>
                <xdr:row>3</xdr:row>
                <xdr:rowOff>38100</xdr:rowOff>
              </from>
              <to>
                <xdr:col>9</xdr:col>
                <xdr:colOff>1762125</xdr:colOff>
                <xdr:row>3</xdr:row>
                <xdr:rowOff>400050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9</xdr:col>
                <xdr:colOff>38100</xdr:colOff>
                <xdr:row>4</xdr:row>
                <xdr:rowOff>66675</xdr:rowOff>
              </from>
              <to>
                <xdr:col>9</xdr:col>
                <xdr:colOff>1762125</xdr:colOff>
                <xdr:row>6</xdr:row>
                <xdr:rowOff>28575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D779AC-8383-4A5B-9506-16CB803B6E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DataKomputasiAwan</vt:lpstr>
      <vt:lpstr>MFSMBerbobot</vt:lpstr>
      <vt:lpstr>MFSMTidakBerbobot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Nadhiful Fadhil</dc:creator>
  <cp:lastModifiedBy>Nadhiful Fadhil</cp:lastModifiedBy>
  <dcterms:created xsi:type="dcterms:W3CDTF">2022-01-13T09:18:34Z</dcterms:created>
  <dcterms:modified xsi:type="dcterms:W3CDTF">2022-01-18T08:33:34Z</dcterms:modified>
</cp:coreProperties>
</file>